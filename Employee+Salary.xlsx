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864" windowHeight="8400" activeTab="3"/>
  </bookViews>
  <sheets>
    <sheet name="Basic Pay" sheetId="1" r:id="rId1"/>
    <sheet name="HRA" sheetId="2" r:id="rId2"/>
    <sheet name="DA" sheetId="3" r:id="rId3"/>
    <sheet name="Gross Sheet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<sst xmlns="http://schemas.openxmlformats.org/spreadsheetml/2006/main" count="56" uniqueCount="18">
  <si>
    <t>Basic Pay of the Employees</t>
  </si>
  <si>
    <t>Emp_ID</t>
  </si>
  <si>
    <t>Emp_Name</t>
  </si>
  <si>
    <t>Emp_Basic_Pay</t>
  </si>
  <si>
    <t>Sandy</t>
  </si>
  <si>
    <t>Sam</t>
  </si>
  <si>
    <t>Peter</t>
  </si>
  <si>
    <t>Bobby</t>
  </si>
  <si>
    <t>John</t>
  </si>
  <si>
    <t>Rita</t>
  </si>
  <si>
    <t>Rozy</t>
  </si>
  <si>
    <t>Rozita</t>
  </si>
  <si>
    <t>Andre</t>
  </si>
  <si>
    <t>Rocher</t>
  </si>
  <si>
    <t>HRA of the Employees</t>
  </si>
  <si>
    <t>Emp_HRA</t>
  </si>
  <si>
    <t>DA of the Employees</t>
  </si>
  <si>
    <t>Emp_DA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</si>
</sst>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6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7" borderId="5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9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19" fillId="36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4"/>
  <sheetViews>
    <sheetView workbookViewId="0">
      <selection activeCell="D6" sqref="D6"/>
    </sheetView>
  </sheetViews>
  <sheetFormatPr defaultColWidth="9" defaultRowHeight="13.2" outlineLevelCol="3"/>
  <cols>
    <col min="2" max="2" width="15.3333333333333" customWidth="1"/>
    <col min="3" max="3" width="22" customWidth="1"/>
    <col min="4" max="4" width="25.4444444444444" customWidth="1"/>
  </cols>
  <sheetData>
    <row r="3" spans="2:4">
      <c r="B3" s="4" t="s">
        <v>0</v>
      </c>
      <c r="C3" s="4"/>
      <c r="D3" s="4"/>
    </row>
    <row r="4" spans="2:4">
      <c r="B4" s="5" t="s">
        <v>1</v>
      </c>
      <c r="C4" s="5" t="s">
        <v>2</v>
      </c>
      <c r="D4" s="5" t="s">
        <v>3</v>
      </c>
    </row>
    <row r="5" spans="2:4">
      <c r="B5" s="5">
        <v>5001</v>
      </c>
      <c r="C5" s="5" t="s">
        <v>4</v>
      </c>
      <c r="D5" s="5">
        <v>4500</v>
      </c>
    </row>
    <row r="6" spans="2:4">
      <c r="B6" s="5">
        <v>5003</v>
      </c>
      <c r="C6" s="5" t="s">
        <v>5</v>
      </c>
      <c r="D6" s="5">
        <v>2500</v>
      </c>
    </row>
    <row r="7" spans="2:4">
      <c r="B7" s="5">
        <v>5098</v>
      </c>
      <c r="C7" s="5" t="s">
        <v>6</v>
      </c>
      <c r="D7" s="5">
        <v>4500</v>
      </c>
    </row>
    <row r="8" spans="2:4">
      <c r="B8" s="5">
        <v>5689</v>
      </c>
      <c r="C8" s="5" t="s">
        <v>7</v>
      </c>
      <c r="D8" s="5">
        <v>3200</v>
      </c>
    </row>
    <row r="9" spans="2:4">
      <c r="B9" s="5">
        <v>5764</v>
      </c>
      <c r="C9" s="5" t="s">
        <v>8</v>
      </c>
      <c r="D9" s="5">
        <v>1223</v>
      </c>
    </row>
    <row r="10" spans="2:4">
      <c r="B10" s="5">
        <v>5091</v>
      </c>
      <c r="C10" s="5" t="s">
        <v>9</v>
      </c>
      <c r="D10" s="5">
        <v>7890</v>
      </c>
    </row>
    <row r="11" spans="2:4">
      <c r="B11" s="5">
        <v>5673</v>
      </c>
      <c r="C11" s="5" t="s">
        <v>10</v>
      </c>
      <c r="D11" s="5">
        <v>6500</v>
      </c>
    </row>
    <row r="12" spans="2:4">
      <c r="B12" s="5">
        <v>5901</v>
      </c>
      <c r="C12" s="5" t="s">
        <v>11</v>
      </c>
      <c r="D12" s="5">
        <v>5479</v>
      </c>
    </row>
    <row r="13" spans="2:4">
      <c r="B13" s="5">
        <v>5764</v>
      </c>
      <c r="C13" s="5" t="s">
        <v>12</v>
      </c>
      <c r="D13" s="5">
        <v>3456</v>
      </c>
    </row>
    <row r="14" spans="2:4">
      <c r="B14" s="5">
        <v>5555</v>
      </c>
      <c r="C14" s="5" t="s">
        <v>13</v>
      </c>
      <c r="D14" s="5">
        <v>1200</v>
      </c>
    </row>
  </sheetData>
  <mergeCells count="1">
    <mergeCell ref="B3:D3"/>
  </mergeCell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4"/>
  <sheetViews>
    <sheetView topLeftCell="B1" workbookViewId="0">
      <selection activeCell="E4" sqref="E4"/>
    </sheetView>
  </sheetViews>
  <sheetFormatPr defaultColWidth="9" defaultRowHeight="13.2" outlineLevelCol="3"/>
  <cols>
    <col min="2" max="2" width="15.3333333333333" customWidth="1"/>
    <col min="3" max="3" width="22" customWidth="1"/>
    <col min="4" max="4" width="25.4444444444444" customWidth="1"/>
  </cols>
  <sheetData>
    <row r="3" spans="2:4">
      <c r="B3" s="3" t="s">
        <v>14</v>
      </c>
      <c r="C3" s="3"/>
      <c r="D3" s="3"/>
    </row>
    <row r="4" spans="2:4">
      <c r="B4" s="2" t="s">
        <v>1</v>
      </c>
      <c r="C4" s="2" t="s">
        <v>2</v>
      </c>
      <c r="D4" s="2" t="s">
        <v>15</v>
      </c>
    </row>
    <row r="5" spans="2:4">
      <c r="B5" s="2">
        <v>5001</v>
      </c>
      <c r="C5" s="2" t="s">
        <v>4</v>
      </c>
      <c r="D5" s="2">
        <f>('Basic Pay'!D5+DA!D5)*50%</f>
        <v>29250</v>
      </c>
    </row>
    <row r="6" spans="2:4">
      <c r="B6" s="2">
        <v>5003</v>
      </c>
      <c r="C6" s="2" t="s">
        <v>5</v>
      </c>
      <c r="D6" s="2">
        <f>('Basic Pay'!D6+DA!D6)*50%</f>
        <v>16250</v>
      </c>
    </row>
    <row r="7" spans="2:4">
      <c r="B7" s="2">
        <v>5098</v>
      </c>
      <c r="C7" s="2" t="s">
        <v>6</v>
      </c>
      <c r="D7" s="2">
        <f>('Basic Pay'!D7+DA!D7)*50%</f>
        <v>29250</v>
      </c>
    </row>
    <row r="8" spans="2:4">
      <c r="B8" s="2">
        <v>5689</v>
      </c>
      <c r="C8" s="2" t="s">
        <v>7</v>
      </c>
      <c r="D8" s="2">
        <f>('Basic Pay'!D8+DA!D8)*50%</f>
        <v>20800</v>
      </c>
    </row>
    <row r="9" spans="2:4">
      <c r="B9" s="2">
        <v>5764</v>
      </c>
      <c r="C9" s="2" t="s">
        <v>8</v>
      </c>
      <c r="D9" s="2">
        <f>('Basic Pay'!D9+DA!D9)*50%</f>
        <v>7949.5</v>
      </c>
    </row>
    <row r="10" spans="2:4">
      <c r="B10" s="2">
        <v>5091</v>
      </c>
      <c r="C10" s="2" t="s">
        <v>9</v>
      </c>
      <c r="D10" s="2">
        <f>('Basic Pay'!D10+DA!D10)*50%</f>
        <v>51285</v>
      </c>
    </row>
    <row r="11" spans="2:4">
      <c r="B11" s="2">
        <v>5673</v>
      </c>
      <c r="C11" s="2" t="s">
        <v>10</v>
      </c>
      <c r="D11" s="2">
        <f>('Basic Pay'!D11+DA!D11)*50%</f>
        <v>42250</v>
      </c>
    </row>
    <row r="12" spans="2:4">
      <c r="B12" s="2">
        <v>5901</v>
      </c>
      <c r="C12" s="2" t="s">
        <v>11</v>
      </c>
      <c r="D12" s="2">
        <f>('Basic Pay'!D12+DA!D12)*50%</f>
        <v>35613.5</v>
      </c>
    </row>
    <row r="13" spans="2:4">
      <c r="B13" s="2">
        <v>5764</v>
      </c>
      <c r="C13" s="2" t="s">
        <v>12</v>
      </c>
      <c r="D13" s="2">
        <f>('Basic Pay'!D13+DA!D13)*50%</f>
        <v>22464</v>
      </c>
    </row>
    <row r="14" spans="2:4">
      <c r="B14" s="2">
        <v>5555</v>
      </c>
      <c r="C14" s="2" t="s">
        <v>13</v>
      </c>
      <c r="D14" s="2">
        <f>('Basic Pay'!D14+DA!D14)*50%</f>
        <v>7800</v>
      </c>
    </row>
  </sheetData>
  <mergeCells count="1">
    <mergeCell ref="B3:D3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4"/>
  <sheetViews>
    <sheetView workbookViewId="0">
      <selection activeCell="B3" sqref="B3:D14"/>
    </sheetView>
  </sheetViews>
  <sheetFormatPr defaultColWidth="9" defaultRowHeight="13.2" outlineLevelCol="3"/>
  <cols>
    <col min="2" max="2" width="15.3333333333333" customWidth="1"/>
    <col min="3" max="3" width="22" customWidth="1"/>
    <col min="4" max="4" width="25.4444444444444" customWidth="1"/>
  </cols>
  <sheetData>
    <row r="3" spans="2:4">
      <c r="B3" s="1" t="s">
        <v>16</v>
      </c>
      <c r="C3" s="1"/>
      <c r="D3" s="1"/>
    </row>
    <row r="4" spans="2:4">
      <c r="B4" s="2" t="s">
        <v>1</v>
      </c>
      <c r="C4" s="2" t="s">
        <v>2</v>
      </c>
      <c r="D4" s="2" t="s">
        <v>17</v>
      </c>
    </row>
    <row r="5" spans="2:4">
      <c r="B5" s="2">
        <v>5001</v>
      </c>
      <c r="C5" s="2" t="s">
        <v>4</v>
      </c>
      <c r="D5" s="2">
        <f>'Basic Pay'!D5*12</f>
        <v>54000</v>
      </c>
    </row>
    <row r="6" spans="2:4">
      <c r="B6" s="2">
        <v>5003</v>
      </c>
      <c r="C6" s="2" t="s">
        <v>5</v>
      </c>
      <c r="D6" s="2">
        <f>'Basic Pay'!D6*12</f>
        <v>30000</v>
      </c>
    </row>
    <row r="7" spans="2:4">
      <c r="B7" s="2">
        <v>5098</v>
      </c>
      <c r="C7" s="2" t="s">
        <v>6</v>
      </c>
      <c r="D7" s="2">
        <f>'Basic Pay'!D7*12</f>
        <v>54000</v>
      </c>
    </row>
    <row r="8" spans="2:4">
      <c r="B8" s="2">
        <v>5689</v>
      </c>
      <c r="C8" s="2" t="s">
        <v>7</v>
      </c>
      <c r="D8" s="2">
        <f>'Basic Pay'!D8*12</f>
        <v>38400</v>
      </c>
    </row>
    <row r="9" spans="2:4">
      <c r="B9" s="2">
        <v>5764</v>
      </c>
      <c r="C9" s="2" t="s">
        <v>8</v>
      </c>
      <c r="D9" s="2">
        <f>'Basic Pay'!D9*12</f>
        <v>14676</v>
      </c>
    </row>
    <row r="10" spans="2:4">
      <c r="B10" s="2">
        <v>5091</v>
      </c>
      <c r="C10" s="2" t="s">
        <v>9</v>
      </c>
      <c r="D10" s="2">
        <f>'Basic Pay'!D10*12</f>
        <v>94680</v>
      </c>
    </row>
    <row r="11" spans="2:4">
      <c r="B11" s="2">
        <v>5673</v>
      </c>
      <c r="C11" s="2" t="s">
        <v>10</v>
      </c>
      <c r="D11" s="2">
        <f>'Basic Pay'!D11*12</f>
        <v>78000</v>
      </c>
    </row>
    <row r="12" spans="2:4">
      <c r="B12" s="2">
        <v>5901</v>
      </c>
      <c r="C12" s="2" t="s">
        <v>11</v>
      </c>
      <c r="D12" s="2">
        <f>'Basic Pay'!D12*12</f>
        <v>65748</v>
      </c>
    </row>
    <row r="13" spans="2:4">
      <c r="B13" s="2">
        <v>5764</v>
      </c>
      <c r="C13" s="2" t="s">
        <v>12</v>
      </c>
      <c r="D13" s="2">
        <f>'Basic Pay'!D13*12</f>
        <v>41472</v>
      </c>
    </row>
    <row r="14" spans="2:4">
      <c r="B14" s="2">
        <v>5555</v>
      </c>
      <c r="C14" s="2" t="s">
        <v>13</v>
      </c>
      <c r="D14" s="2">
        <f>'Basic Pay'!D14*12</f>
        <v>14400</v>
      </c>
    </row>
  </sheetData>
  <mergeCells count="1">
    <mergeCell ref="B3:D3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D14"/>
  <sheetViews>
    <sheetView tabSelected="1" workbookViewId="0">
      <selection activeCell="I13" sqref="I13"/>
    </sheetView>
  </sheetViews>
  <sheetFormatPr defaultColWidth="8.88888888888889" defaultRowHeight="13.2" outlineLevelCol="3"/>
  <cols>
    <col min="2" max="2" width="13.4444444444444" customWidth="1"/>
    <col min="3" max="3" width="12.7777777777778" customWidth="1"/>
    <col min="4" max="4" width="16.1111111111111" customWidth="1"/>
  </cols>
  <sheetData>
    <row r="3" spans="2:4">
      <c r="B3" s="1" t="s">
        <v>16</v>
      </c>
      <c r="C3" s="1"/>
      <c r="D3" s="1"/>
    </row>
    <row r="4" spans="2:4">
      <c r="B4" s="2" t="s">
        <v>1</v>
      </c>
      <c r="C4" s="2" t="s">
        <v>2</v>
      </c>
      <c r="D4" s="2" t="s">
        <v>17</v>
      </c>
    </row>
    <row r="5" spans="2:4">
      <c r="B5" s="2">
        <v>5001</v>
      </c>
      <c r="C5" s="2" t="s">
        <v>4</v>
      </c>
      <c r="D5" s="2">
        <f>'Basic Pay'!D5+DA!D5+HRA!D5</f>
        <v>87750</v>
      </c>
    </row>
    <row r="6" spans="2:4">
      <c r="B6" s="2">
        <v>5003</v>
      </c>
      <c r="C6" s="2" t="s">
        <v>5</v>
      </c>
      <c r="D6" s="2">
        <f>'Basic Pay'!D6+DA!D6+HRA!D6</f>
        <v>48750</v>
      </c>
    </row>
    <row r="7" spans="2:4">
      <c r="B7" s="2">
        <v>5098</v>
      </c>
      <c r="C7" s="2" t="s">
        <v>6</v>
      </c>
      <c r="D7" s="2">
        <f>'Basic Pay'!D7+DA!D7+HRA!D7</f>
        <v>87750</v>
      </c>
    </row>
    <row r="8" spans="2:4">
      <c r="B8" s="2">
        <v>5689</v>
      </c>
      <c r="C8" s="2" t="s">
        <v>7</v>
      </c>
      <c r="D8" s="2">
        <f>'Basic Pay'!D8+DA!D8+HRA!D8</f>
        <v>62400</v>
      </c>
    </row>
    <row r="9" spans="2:4">
      <c r="B9" s="2">
        <v>5764</v>
      </c>
      <c r="C9" s="2" t="s">
        <v>8</v>
      </c>
      <c r="D9" s="2">
        <f>'Basic Pay'!D9+DA!D9+HRA!D9</f>
        <v>23848.5</v>
      </c>
    </row>
    <row r="10" spans="2:4">
      <c r="B10" s="2">
        <v>5091</v>
      </c>
      <c r="C10" s="2" t="s">
        <v>9</v>
      </c>
      <c r="D10" s="2">
        <f>'Basic Pay'!D10+DA!D10+HRA!D10</f>
        <v>153855</v>
      </c>
    </row>
    <row r="11" spans="2:4">
      <c r="B11" s="2">
        <v>5673</v>
      </c>
      <c r="C11" s="2" t="s">
        <v>10</v>
      </c>
      <c r="D11" s="2">
        <f>'Basic Pay'!D11+DA!D11+HRA!D11</f>
        <v>126750</v>
      </c>
    </row>
    <row r="12" spans="2:4">
      <c r="B12" s="2">
        <v>5901</v>
      </c>
      <c r="C12" s="2" t="s">
        <v>11</v>
      </c>
      <c r="D12" s="2">
        <f>'Basic Pay'!D12+DA!D12+HRA!D12</f>
        <v>106840.5</v>
      </c>
    </row>
    <row r="13" spans="2:4">
      <c r="B13" s="2">
        <v>5764</v>
      </c>
      <c r="C13" s="2" t="s">
        <v>12</v>
      </c>
      <c r="D13" s="2">
        <f>'Basic Pay'!D13+DA!D13+HRA!D13</f>
        <v>67392</v>
      </c>
    </row>
    <row r="14" spans="2:4">
      <c r="B14" s="2">
        <v>5555</v>
      </c>
      <c r="C14" s="2" t="s">
        <v>13</v>
      </c>
      <c r="D14" s="2">
        <f>'Basic Pay'!D14+DA!D14+HRA!D14</f>
        <v>23400</v>
      </c>
    </row>
  </sheetData>
  <mergeCells count="1">
    <mergeCell ref="B3:D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abc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Basic Pay</vt:lpstr>
      <vt:lpstr>HRA</vt:lpstr>
      <vt:lpstr>DA</vt:lpstr>
      <vt:lpstr>Gross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Tushar Santosh Deshmukh</cp:lastModifiedBy>
  <dcterms:created xsi:type="dcterms:W3CDTF">2007-12-11T14:17:00Z</dcterms:created>
  <dcterms:modified xsi:type="dcterms:W3CDTF">2026-10-13T15:25:38Z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D78F99C6BF334D6D9B1AA841FE9347D8_13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